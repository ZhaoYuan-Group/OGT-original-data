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1、heda\ogt\"/>
    </mc:Choice>
  </mc:AlternateContent>
  <xr:revisionPtr revIDLastSave="0" documentId="13_ncr:1_{5471FD88-6875-4CF9-96E9-341A84E17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D35" i="1"/>
  <c r="D6" i="1"/>
  <c r="D17" i="1"/>
  <c r="D4" i="1"/>
  <c r="D10" i="1"/>
  <c r="D29" i="1"/>
  <c r="D13" i="1"/>
  <c r="D9" i="1"/>
  <c r="D7" i="1"/>
  <c r="D19" i="1"/>
  <c r="D15" i="1"/>
  <c r="D11" i="1"/>
  <c r="D22" i="1"/>
  <c r="D30" i="1"/>
  <c r="D31" i="1"/>
  <c r="D24" i="1"/>
  <c r="D75" i="1"/>
  <c r="D55" i="1"/>
  <c r="D26" i="1"/>
  <c r="D38" i="1"/>
  <c r="D63" i="1"/>
  <c r="D61" i="1"/>
  <c r="D28" i="1"/>
  <c r="D27" i="1"/>
  <c r="D14" i="1"/>
  <c r="D82" i="1"/>
  <c r="D40" i="1"/>
  <c r="D64" i="1"/>
  <c r="D66" i="1"/>
  <c r="D84" i="1"/>
  <c r="D43" i="1"/>
  <c r="D39" i="1"/>
  <c r="D54" i="1"/>
  <c r="D12" i="1"/>
  <c r="D57" i="1"/>
  <c r="D21" i="1"/>
  <c r="D96" i="1"/>
  <c r="D87" i="1"/>
  <c r="D3" i="1"/>
  <c r="D2" i="1"/>
  <c r="D49" i="1"/>
  <c r="D8" i="1"/>
  <c r="D69" i="1"/>
  <c r="D68" i="1"/>
  <c r="D74" i="1"/>
  <c r="D99" i="1"/>
  <c r="D62" i="1"/>
  <c r="D73" i="1"/>
  <c r="D110" i="1"/>
  <c r="D105" i="1"/>
  <c r="D107" i="1"/>
  <c r="D98" i="1"/>
  <c r="D33" i="1"/>
  <c r="D76" i="1"/>
  <c r="D103" i="1"/>
  <c r="D89" i="1"/>
  <c r="D100" i="1"/>
  <c r="D97" i="1"/>
  <c r="D77" i="1"/>
  <c r="D106" i="1"/>
  <c r="D108" i="1"/>
  <c r="D94" i="1"/>
  <c r="D5" i="1"/>
  <c r="D101" i="1"/>
  <c r="D80" i="1"/>
  <c r="D109" i="1"/>
  <c r="D102" i="1"/>
  <c r="D67" i="1"/>
  <c r="D59" i="1"/>
  <c r="D95" i="1"/>
  <c r="D90" i="1"/>
  <c r="D44" i="1"/>
  <c r="D60" i="1"/>
  <c r="D47" i="1"/>
  <c r="D93" i="1"/>
  <c r="D88" i="1"/>
  <c r="D92" i="1"/>
  <c r="D56" i="1"/>
  <c r="D23" i="1"/>
  <c r="D48" i="1"/>
  <c r="D51" i="1"/>
  <c r="D53" i="1"/>
  <c r="D42" i="1"/>
  <c r="D78" i="1"/>
  <c r="D79" i="1"/>
  <c r="D36" i="1"/>
  <c r="D52" i="1"/>
  <c r="D45" i="1"/>
  <c r="D72" i="1"/>
  <c r="D91" i="1"/>
  <c r="D83" i="1"/>
  <c r="D41" i="1"/>
  <c r="D71" i="1"/>
  <c r="D70" i="1"/>
  <c r="D37" i="1"/>
  <c r="D104" i="1"/>
  <c r="D18" i="1"/>
  <c r="D34" i="1"/>
  <c r="D58" i="1"/>
  <c r="D81" i="1"/>
  <c r="D65" i="1"/>
  <c r="D86" i="1"/>
  <c r="D50" i="1"/>
  <c r="D46" i="1"/>
  <c r="D25" i="1"/>
  <c r="D20" i="1"/>
  <c r="D16" i="1"/>
  <c r="D32" i="1"/>
</calcChain>
</file>

<file path=xl/sharedStrings.xml><?xml version="1.0" encoding="utf-8"?>
<sst xmlns="http://schemas.openxmlformats.org/spreadsheetml/2006/main" count="322" uniqueCount="255">
  <si>
    <t>CC(C)(C)OC(N[C@H](CCCN/C(NC(OCC1=CC=CC=C1)=O)=N/C(OCC2=CC=CC=C2)=O)C(N[C@@H](CC3)[C@@H]4[C@H]3[C@@H](CC4)OCC5=CC=CC=C5)=O)=O</t>
  </si>
  <si>
    <t>O=C(C1=CC=CC=C1)N/C(C(N[C@@H]2[C@@H](OC[C@H]3OCC4=CC=CC=C4)[C@@H]3OC2)=O)=C\C(N5)=CC6=C5C=CC=C6</t>
  </si>
  <si>
    <t>smiles</t>
    <phoneticPr fontId="1" type="noConversion"/>
  </si>
  <si>
    <t>pIC50</t>
    <phoneticPr fontId="1" type="noConversion"/>
  </si>
  <si>
    <t>IC50(μM)</t>
    <phoneticPr fontId="1" type="noConversion"/>
  </si>
  <si>
    <t>COC1=CC=CC=C1[C@H](C2=O)NC(CN2CC3=CC=CS3)=O</t>
  </si>
  <si>
    <t>CN116162085A</t>
  </si>
  <si>
    <t>Albuquerque, S. O., et al. (2020). "Biological evaluation and molecular modeling of peptidomimetic compounds as inhibitors for O-GlcNAc transferase (OGT)." European Journal of Pharmaceutical Sciences 154: 9.</t>
  </si>
  <si>
    <t>O=C(N(CC1=CC=CS1)CC(OCC)=O)[C@H](CS(=O)(C2=CC=C(C=CC(N3)=O)C3=C2)=O)C4=CC=CC=C4</t>
  </si>
  <si>
    <t>O=C(N(CC1=CC=CS1)CC(OCC)=O)[C@@H](CS(=O)(C2=CC=C(C=CC(N3)=O)C3=C2)=O)C4=CC=CC=C4</t>
  </si>
  <si>
    <t>O=C(N(CC1=CC=CS1)CC(OCC)=O)[C@H](CS(=O)(C2=CC=C(CC(N3)=O)C3=C2)=O)C4=CC=CC=C4</t>
  </si>
  <si>
    <t>O=C(N(CC1=CC=CS1)CC(OCC)=O)[C@@H](CS(=O)(C2=CC=C(CC(N3)=O)C3=C2)=O)C4=CC=CC=C4</t>
  </si>
  <si>
    <t>O=C(N(CC1=CC=CS1)CC(OCC)=O)[C@@H](CC2=CC=CC=C2)CS(=O)(C3=CC=C(C=CC(N4)=O)C4=C3)=O</t>
  </si>
  <si>
    <t>O=C(N(CC1=CC=CS1)CC(OCC)=O)[C@@H](CC2=CC=C(O)C=C2)CS(=O)(C3=CC=C(C=CC(N4)=O)C4=C3)=O</t>
  </si>
  <si>
    <t>O=C(N(CC1=CC=CS1)CC(OCC)=O)[C@@H](C(C)C)CS(=O)(C2=CC=C(C=CC(N3)=O)C3=C2)=O</t>
  </si>
  <si>
    <t>O=C(N(CC1=CC=CS1)CC(OCC)=O)[C@H](C(C)C)CS(=O)(C2=CC=C(C=CC(N3)=O)C3=C2)=O</t>
  </si>
  <si>
    <t>CN114349735B</t>
    <phoneticPr fontId="1" type="noConversion"/>
  </si>
  <si>
    <t>name</t>
    <phoneticPr fontId="1" type="noConversion"/>
  </si>
  <si>
    <t>CDDO</t>
    <phoneticPr fontId="1" type="noConversion"/>
  </si>
  <si>
    <t>LQMed 330</t>
  </si>
  <si>
    <t>LQMed 269</t>
  </si>
  <si>
    <t>O=C1[C@@]2([H])[C@](CC[C@]3(C(O)=O)[C@@]2([H])CC(C)(C)CC3)(C)[C@]4(C)CC[C@@]5([H])C(C)(C)C(C(C#N)=C[C@]5(C)C4=C1)=O</t>
  </si>
  <si>
    <r>
      <t>Albuquerque, Suraby O et al. “Biological evaluation and molecular modeling of peptidomimetic compounds as inhibitors for O-GlcNAc transferase (OGT).” </t>
    </r>
    <r>
      <rPr>
        <i/>
        <sz val="12"/>
        <color rgb="FF212121"/>
        <rFont val="Segoe UI"/>
        <family val="2"/>
      </rPr>
      <t>European journal of pharmaceutical sciences : official journal of the European Federation for Pharmaceutical Sciences</t>
    </r>
    <r>
      <rPr>
        <sz val="12"/>
        <color rgb="FF212121"/>
        <rFont val="Segoe UI"/>
        <family val="2"/>
      </rPr>
      <t> vol. 154 (2020): 105510. doi:10.1016/j.ejps.2020.105510</t>
    </r>
    <r>
      <rPr>
        <sz val="11"/>
        <color rgb="FFFFFFFF"/>
        <rFont val="Segoe UI"/>
        <family val="2"/>
      </rPr>
      <t>IF: 4.7 </t>
    </r>
    <r>
      <rPr>
        <sz val="11"/>
        <color rgb="FF000000"/>
        <rFont val="Segoe UI"/>
        <family val="2"/>
      </rPr>
      <t>Q1</t>
    </r>
  </si>
  <si>
    <t xml:space="preserve">CCCCCC(=O)NC1C(O)SC(CO)C(O)C1O </t>
  </si>
  <si>
    <t>5S-GlcNHex</t>
  </si>
  <si>
    <t>T.W. Liu, W.F. Zandberg, T.M. Gloster, L. Deng, K.D. Murray, X. Shan, D. J. Vocadlo, Metabolic inhibitors of O-GlcNAc transferase that act in vivo implicate decreased O-GlcNAc levels in leptin-mediated nutrient sensing, Angew. Chem. Int. Ed. Engl. 57 (26) (2018) 7644–7648, https://doi.org/10.1002/anie.201803254.</t>
  </si>
  <si>
    <t>O=C1C(C#N)=C[C@@]2(C)[C@](CC[C@]([C@@]3(C)[C@@]4([H])[C@@]5([H])[C@@](CCC(C)(C)C5)(C(OC)=O)CC3)(C)C2=CC4=O)([H])C1(C)C</t>
  </si>
  <si>
    <t>CDDO-Me</t>
    <phoneticPr fontId="1" type="noConversion"/>
  </si>
  <si>
    <t>CDDO-Imidazole</t>
    <phoneticPr fontId="1" type="noConversion"/>
  </si>
  <si>
    <t>O=C1C(C#N)=C[C@@]2(C)[C@](CC[C@]([C@@]3(C)[C@@]4([H])[C@@]5([H])[C@@](CCC(C)(C)C5)(C(N6C=NC=C6)=O)CC3)(C)C2=CC4=O)([H])C1(C)C</t>
  </si>
  <si>
    <t>O=C1C(C#N)=C[C@@]2(C)[C@](CC[C@]([C@@]3(C)[C@@]4([H])[C@@]5([H])[C@@](CCC(C)(C)C5)(NC(C(F)(C)F)=O)CC3)(C)C2=CC4=O)([H])C1(C)C</t>
  </si>
  <si>
    <t>O=C(C)O[C@@H]1[C@H](NC(C)=O)[C@@H](OC(C)=O)[C@H](OC(C)=O)[C@@H](COC(C)=O)S1</t>
  </si>
  <si>
    <t>T.W. Liu, W.F. Zandberg, T.M. Gloster, L. Deng, K.D. Murray, X. Shan, D. J. Vocadlo, Metabolic inhibitors of O-GlcNAc transferase that act in vivo implicate decreased O-GlcNAc levels in leptin-mediated nutrient sensing, Angew. Chem. Int. Ed. Engl. 57 (26) (2018) 7644–7648, https://doi.org/10.1002/anie.201803255.</t>
  </si>
  <si>
    <t>OGT as potential novel target: Structure, function and inhibitors 10.1016/j.cbi.2022.109886</t>
    <phoneticPr fontId="1" type="noConversion"/>
  </si>
  <si>
    <t>OC(C1CC(N(CCC2(CC3C4)C[C@@H]4CC(C3)C2)/C(S1)=N/C5=CC=C(Cl)C=C5)=O)=O</t>
  </si>
  <si>
    <t>O=C1C=CC2=C(C=CC(S(=O)(N[C@H](C3=C(OC)C=CC=C3)C(N(CC4=CC=CS4)CC5=CC=CO5)=O)=O)=C2)N1</t>
  </si>
  <si>
    <t>OSMI-1</t>
  </si>
  <si>
    <t>OGT as potential novel target: Structure, function and inhibitors 10.1016/j.cbi.2022.109887</t>
  </si>
  <si>
    <t>BZX2</t>
    <phoneticPr fontId="1" type="noConversion"/>
  </si>
  <si>
    <t>O=C(OC1=CC=C(OC)C=C1)N(C(O2)=O)C3=C2C=C(C(C)=O)C=C3</t>
  </si>
  <si>
    <t>APNT</t>
    <phoneticPr fontId="1" type="noConversion"/>
  </si>
  <si>
    <t>APBT</t>
    <phoneticPr fontId="1" type="noConversion"/>
  </si>
  <si>
    <t>O=C(C[C@@H](C1=CC(C2=C(C3=C(O)C=C2O)O[C@H](C4=CC=C(O)C=C4)CC3=O)=C(O)C=C1)O5)C6=C5C=C(O)C=C6O</t>
  </si>
  <si>
    <t>L01</t>
    <phoneticPr fontId="1" type="noConversion"/>
  </si>
  <si>
    <t>DOI: 10.1038/s41598-017-12522-0</t>
  </si>
  <si>
    <t>goblin-1</t>
  </si>
  <si>
    <t>goblin-2</t>
    <phoneticPr fontId="1" type="noConversion"/>
  </si>
  <si>
    <t>O[C@@H]1[C@H](O[C@H]([C@@H]1O)COP(O)(OP(OCCCOCC(C(NC(C(C)C)C(N2C(C(NC([C@@H](C)O)C(NC(C(C)C)C(NC(C)=O)=O)=O)=O)CCC2)=O)=O)NC(C(C(C)C)NC(C(C)NC(N)=O)=O)=O)(O)=O)=O)N3C(N(C(C=C3)=O)[H])=O</t>
  </si>
  <si>
    <t>O[C@@H]1[C@H](O[C@H]([C@@H]1O)COP(O)(OP(OCCCSCC(C(NC(C(C)C)C(N2C(C(NC([C@@H](C)O)C(NC(C(C)C)C(NC(C)=O)=O)=O)=O)CCC2)=O)=O)NC(C(C(C)C)NC(C(C)NC(N)=O)=O)=O)(O)=O)=O)N3C(N(C(C=C3)=O)[H])=O</t>
  </si>
  <si>
    <t>UDP-S-GlcNAc</t>
  </si>
  <si>
    <t>UDP-C-GlcNAc</t>
  </si>
  <si>
    <t>O=P([O-])(SC1[C@H](NC(C)=O)C(O)C(O[H])[C@@H](CO)O1)OP([O-])(OCC2OC(N(C(N3[H])=O)C=CC3=O)C(O)C2O)=O</t>
  </si>
  <si>
    <t>O=P([O-])(C([H])([H])C1[C@H](NC(C)=O)C(O)C(O[H])[C@@H](CO)O1)OP([O-])(OCC2OC(N(C(N3[H])=O)C=CC3=O)C(O)C2O)=O</t>
  </si>
  <si>
    <t xml:space="preserve">C-UDP </t>
  </si>
  <si>
    <t>Riccardo Trapannone, Karim Rafie, Daan M.F. van Aalten; O-GlcNAc transferase inhibitors: current tools and future challenges. Biochem Soc Trans 15 February 2016; 44 (1): 88–93. doi:</t>
  </si>
  <si>
    <t>UDP</t>
    <phoneticPr fontId="1" type="noConversion"/>
  </si>
  <si>
    <t>[O-]P([O-])(OP([O-])(OCC1OC(C(C1O)O)N(C=CC2=O)C(N2[H])=O)=O)=O</t>
  </si>
  <si>
    <t>[O-]P([O-])(CP([O-])(OCC1OC(C(C1O)O)N(C=CC2=O)C(N2[H])=O)=O)=O</t>
  </si>
  <si>
    <t>alloxan</t>
    <phoneticPr fontId="1" type="noConversion"/>
  </si>
  <si>
    <t>O=C(C(NC(N1)=O)=O)C1=O</t>
  </si>
  <si>
    <t>Qiao, Y. Q., et al. (2021). "A DNA nanoscaffold-based electrochemical assay for sensitive determination of O-GlcNAc transferase (OGT) activity and its application in cell-permeable OGT inhibitors screening." Sensors and Actuators B-Chemical 334: 7.</t>
  </si>
  <si>
    <t>Dyngo-4-070</t>
  </si>
  <si>
    <t>Dyngo-4-183</t>
  </si>
  <si>
    <t>OC1=CC2=CC=CC=C2C=C1C(N/N=C/C3=CC(O)=CC=C3O)=O</t>
  </si>
  <si>
    <t>O=C(N/N=C/C1=CC(O)=C(O)C=C1O)C2=CC3=CC=CC=C3C=C2</t>
  </si>
  <si>
    <t>Alteen, M. G., et al. (2020). "A Direct Fluorescent Activity Assay for Glycosyltransferases Enables Convenient High-Throughput Screening: Application to &lt;i&gt;O&lt;/i&gt;-GlcNAc Transferase." Angewandte Chemie-International Edition 59(24): 9601-9609.</t>
  </si>
  <si>
    <t>AF</t>
    <phoneticPr fontId="1" type="noConversion"/>
  </si>
  <si>
    <t>OC1=CC(O)=CC(OC(C2=CC(C3=C(O)C=C(O)C4=C3OC(C5=CC=C(O)C=C5)=CC4=O)=C(O)C=C2)=C6)=C1C6=O</t>
  </si>
  <si>
    <t>刘宇博, 张娜娜, 陈锦娇, 朱彤, 张嘉宁, 李文利. O-连接N-乙酰葡糖胺转移酶抑制剂的筛选与活性分析. 高等学校化学学报, 2018, 39(6): 1185.</t>
  </si>
  <si>
    <t>O=P(OC1[C@@H](C(C([C@H](S1)CO)O[H])O)NC(C)=O)(OP(O)(OCC2OC(C(C2O)O)N(C=C3)C(NC3=O)=O)=O)O</t>
  </si>
  <si>
    <t>Ac4-5S-GlcNAc</t>
    <phoneticPr fontId="1" type="noConversion"/>
  </si>
  <si>
    <t>UDP-5S-GlcNAc</t>
    <phoneticPr fontId="1" type="noConversion"/>
  </si>
  <si>
    <t>Dyngo-4a</t>
    <phoneticPr fontId="1" type="noConversion"/>
  </si>
  <si>
    <t>OC1=CC2=CC=CC=C2C=C1C(N/N=C/C3=C(C=C(C(O)=C3)O)O)=O</t>
  </si>
  <si>
    <t>ST045849</t>
    <phoneticPr fontId="1" type="noConversion"/>
  </si>
  <si>
    <t>ST078925</t>
    <phoneticPr fontId="1" type="noConversion"/>
  </si>
  <si>
    <t>OC(C(C=C1)=CC=C1CSC(C(C#N)=C2C3=CC=CS3)=NC4=C2CCCC4)=O</t>
  </si>
  <si>
    <t>https://www.promega.co.uk/-/media/files/resources/protocols/technical-manuals/101/udp-glo-glycosyltransferase-assay-protocol.pdf</t>
  </si>
  <si>
    <t>Pep13</t>
    <phoneticPr fontId="1" type="noConversion"/>
  </si>
  <si>
    <t>Pep6</t>
    <phoneticPr fontId="1" type="noConversion"/>
  </si>
  <si>
    <t>Martin, Sara E S et al. “Structure-Based Evolution of Low Nanomolar O-GlcNAc Transferase Inhibitors.” Journal of the American Chemical Society vol. 140,42 (2018): 13542-13545. doi:10.1021/jacs.8b07328</t>
  </si>
  <si>
    <t>Saha, Abhijit et al. “Advances in chemical probing of protein O-GlcNAc glycosylation: structural role and molecular mechanisms.” Chemical Society reviews vol. 50,18 10451-10485. 20 Sep. 2021, doi:10.1039/d0cs01275k</t>
  </si>
  <si>
    <t>OSMI-4b</t>
    <phoneticPr fontId="1" type="noConversion"/>
  </si>
  <si>
    <t>O=C1C=CC2=C(N1)C=C(C(S(=O)(N[C@@H](C(N(CC(OCC)=O)CC3=CC=CS3)=O)C4=C(C=CC=C4)OC)=O)=C2)Cl</t>
  </si>
  <si>
    <t>O[C@H]1[C@H](O)[C@@H](NC(C)=O)[C@H]([Se]C)O[C@@H]1CO</t>
  </si>
  <si>
    <t>O[C@H]1[C@H](O)[C@@H](NC(C)=O)[C@H]([Se][Se][C@@H]2[C@@H](NC(C)=O)[C@H](O)[C@@H](O)[C@H](CO)O2)O[C@@H]1CO</t>
  </si>
  <si>
    <t>Se1</t>
    <phoneticPr fontId="1" type="noConversion"/>
  </si>
  <si>
    <t>Se2</t>
    <phoneticPr fontId="1" type="noConversion"/>
  </si>
  <si>
    <t>OSMI-4a</t>
    <phoneticPr fontId="1" type="noConversion"/>
  </si>
  <si>
    <t>O=C1C=CC2=C(N1)C=C(C(S(=O)(N[C@@H](C(N(CC(O)=O)CC3=CC=CS3)=O)C4=C(C=CC=C4)OC)=O)=C2)Cl</t>
  </si>
  <si>
    <t>HLY838</t>
    <phoneticPr fontId="1" type="noConversion"/>
  </si>
  <si>
    <t>CHEMBL3890166</t>
  </si>
  <si>
    <t>O=C(CCl)Nc1ccc(-n2cc(-c3ccc4ccccc4c3)nn2)cc1</t>
  </si>
  <si>
    <t>O=c1ccn([C@@H]2O[C@H](Cn3cc(-c4cccc(Br)n4)nn3)[C@@H](O)[C@H]2O)c(=O)[nH]1</t>
  </si>
  <si>
    <t>CHEMBL3596230</t>
  </si>
  <si>
    <t>O=C(CCl)Nc1ccc(-n2cc(-c3ccc(-c4ccccc4)cc3)nn2)cc1</t>
  </si>
  <si>
    <t>CHEMBL3896658</t>
  </si>
  <si>
    <t>CHEMBL4284026</t>
  </si>
  <si>
    <t>CHEMBL4284026</t>
    <phoneticPr fontId="1" type="noConversion"/>
  </si>
  <si>
    <t>CC(C)[C@H](NC(=O)[C@@H](N)CCCNC(=N)N)C(=O)N1CCC[C@H]1C(=O)N[C@@H](CO)C(=O)N[C@@H](CCC(=O)NCCOC[C@H]1O[C@@H](n2ccc(=O)[nH]c2=O)[C@H](O)[C@@H]1O)C(=O)N[C@@H](CCC(N)=O)C(=O)N[C@@H](CO)C(N)=O</t>
  </si>
  <si>
    <t>CHEMBL3596390</t>
    <phoneticPr fontId="1" type="noConversion"/>
  </si>
  <si>
    <t>O=C(O)C1CC(=O)N(CC23CC4CC(CC(C4)C2)C3)/C(=N/c2ccc(Cl)cc2)S1</t>
  </si>
  <si>
    <t>O=C(CCl)Nc1ccc(-n2cc(C(O)(c3ccccc3)c3ccccc3)nn2)cc1</t>
  </si>
  <si>
    <t>CHEMBL3895218</t>
  </si>
  <si>
    <t>CHEMBL3895218</t>
    <phoneticPr fontId="1" type="noConversion"/>
  </si>
  <si>
    <t>CC(=O)N[C@@H]1[C@@H](O)[C@H](O)[C@@H](CO)O[C@@H]1COP(=O)(O)OP(=O)(O)OC[C@H]1O[C@@H](n2ccc(=O)[nH]c2=O)[C@H](O)[C@@H]1O</t>
  </si>
  <si>
    <t>CHEMBL3596219</t>
  </si>
  <si>
    <t>CHEMBL3596219</t>
    <phoneticPr fontId="1" type="noConversion"/>
  </si>
  <si>
    <t>CHEMBL3596228</t>
  </si>
  <si>
    <t>CHEMBL3596228</t>
    <phoneticPr fontId="1" type="noConversion"/>
  </si>
  <si>
    <t>[N-]=[N+]=Nc1ccc(NC(=O)CCl)cc1</t>
  </si>
  <si>
    <t>CHEMBL3949890</t>
  </si>
  <si>
    <t>CHEMBL3949890</t>
    <phoneticPr fontId="1" type="noConversion"/>
  </si>
  <si>
    <t>[N-]=[N+]=Nc1ccc(NC(=O)CI)cc1</t>
  </si>
  <si>
    <t>CHEMBL3969655</t>
    <phoneticPr fontId="1" type="noConversion"/>
  </si>
  <si>
    <t>BZX1</t>
    <phoneticPr fontId="1" type="noConversion"/>
  </si>
  <si>
    <t>O=c1[nH]c2ccccc2o1</t>
  </si>
  <si>
    <t>CHEMBL280323</t>
    <phoneticPr fontId="1" type="noConversion"/>
  </si>
  <si>
    <t>N#Cc1ccc(CSc2nc(-c3cccs3)c3c(c2C(=O)O)CCCC3)cc1</t>
  </si>
  <si>
    <t>CHEMBL1316595</t>
  </si>
  <si>
    <t>CHEMBL1316595</t>
    <phoneticPr fontId="1" type="noConversion"/>
  </si>
  <si>
    <t>CC(=O)Nc1ccc(-n2cc(C(O)(c3ccccc3)c3ccccc3)nn2)cc1</t>
  </si>
  <si>
    <t>CHEMBL3924189</t>
  </si>
  <si>
    <t>CHEMBL3924189</t>
    <phoneticPr fontId="1" type="noConversion"/>
  </si>
  <si>
    <t>CC(C)[C@H](NC(=O)[C@@H](N)CCCNC(=N)N)C(=O)N1CCC[C@H]1C(=O)N[C@@H](CO)C(=O)N[C@@H](C)C(=O)N[C@@H](CCC(N)=O)C(=O)N[C@@H](CO)C(N)=O</t>
  </si>
  <si>
    <t>CC(C)[C@H](NC(=O)[C@@H](N)CS)C(=O)N[C@H](C(=O)N1CCC[C@H]1C(=O)N[C@H](C(=O)N[C@@H](CCC(=O)NC[C@H]1O[C@@H](n2ccc(=O)[nH]c2=O)[C@H](O)[C@@H]1O)C(=O)N[C@H](C(=O)N[C@@H](C)C(N)=O)[C@@H](C)O)C(C)C)[C@@H](C)O</t>
  </si>
  <si>
    <t>CHEMBL4294223</t>
  </si>
  <si>
    <t>CHEMBL4294223</t>
    <phoneticPr fontId="1" type="noConversion"/>
  </si>
  <si>
    <t>CC(C)[C@H](NC(=O)[C@@H](N)CCCNC(=N)N)C(=O)N1CCC[C@H]1C(=O)N[C@@H](CO)C(=O)N[C@@H](CCC(=O)NC[C@H]1O[C@@H](n2ccc(=O)[nH]c2=O)[C@H](O)[C@@H]1O)C(=O)N[C@@H](CCC(N)=O)C(=O)N[C@@H](CO)C(N)=O</t>
  </si>
  <si>
    <t>CHEMBL4294621</t>
  </si>
  <si>
    <t>CHEMBL4294621</t>
    <phoneticPr fontId="1" type="noConversion"/>
  </si>
  <si>
    <t>CC(C)[C@H](NC(=O)[C@@H](N)CS)C(=O)N[C@H](C(=O)N1CCC[C@H]1C(=O)N[C@H](C(=O)N[C@@H](CCC(=O)NCCOCCOC[C@H]1O[C@@H](n2ccc(=O)[nH]c2=O)[C@H](O)[C@@H]1O)C(=O)N[C@H](C(=O)N[C@@H](C)C(N)=O)[C@@H](C)O)C(C)C)[C@@H](C)O</t>
  </si>
  <si>
    <t>CHEMBL4279469</t>
  </si>
  <si>
    <t>CHEMBL4279469</t>
    <phoneticPr fontId="1" type="noConversion"/>
  </si>
  <si>
    <t>CC(=O)Nc1ccc(-n2cc(-c3ccc4ccccc4c3)nn2)cc1</t>
  </si>
  <si>
    <t>O=c1oc2c(O)c(O)ccc2c2cc(O)c(O)cc12</t>
  </si>
  <si>
    <t>CHEMBL6338</t>
  </si>
  <si>
    <t>CHEMBL6338</t>
    <phoneticPr fontId="1" type="noConversion"/>
  </si>
  <si>
    <t>CC(C)[C@H](NC(=O)[C@@H](N)CS)C(=O)N[C@H](C(=O)N1CCC[C@H]1C(=O)N[C@H](C(=O)N[C@@H](C)C(=O)N[C@H](C(=O)N[C@@H](C)C(N)=O)[C@@H](C)O)C(C)C)[C@@H](C)O</t>
  </si>
  <si>
    <t>C#CC(O)(c1ccccc1)c1ccccc1</t>
  </si>
  <si>
    <t>CHEMBL3933877</t>
  </si>
  <si>
    <t>C#Cc1ccc2ccccc2c1</t>
  </si>
  <si>
    <t>CHEMBL1743361</t>
  </si>
  <si>
    <t>CHEMBL1743361</t>
    <phoneticPr fontId="1" type="noConversion"/>
  </si>
  <si>
    <t>O=C(N[C@@H]1O[C@H](CO)[C@@H](O)[C@H](O)[C@H]1O)c1cccc(Cc2cn(C[C@H]3O[C@@H](n4ccc(=O)[nH]c4=O)[C@H](O)[C@@H]3O)nn2)n1</t>
  </si>
  <si>
    <t>CHEMBL3596226</t>
    <phoneticPr fontId="1" type="noConversion"/>
  </si>
  <si>
    <t>O=C(Oc1ccccc1)n1c(=O)oc2ccc(Cl)cc21</t>
  </si>
  <si>
    <t>CCNC(=O)C[C@@H]1N=C(c2ccc(Cl)cc2)c2cc(OC)ccc2-n2c(C)nnc21</t>
  </si>
  <si>
    <t>CHEMBL1232461</t>
  </si>
  <si>
    <t>CHEMBL1232461</t>
    <phoneticPr fontId="1" type="noConversion"/>
  </si>
  <si>
    <t>O=c1ccn([C@@H]2O[C@H](Cn3cc(-c4cccc(-c5cn([C@@H]6O[C@H](CO)[C@@H](O)[C@H](O)[C@H]6O)nn5)n4)nn3)[C@@H](O)[C@H]2O)c(=O)[nH]1</t>
    <phoneticPr fontId="1" type="noConversion"/>
  </si>
  <si>
    <t>CC(C)[C@H](NC(=O)[C@@H](N)CS)C(=O)N[C@H](C(=O)N1CCC[C@H]1C(=O)N[C@H](C(=O)N[C@@H](CCC(=O)NCCOC[C@H]1O[C@@H](n2ccc(=O)[nH]c2=O)[C@H](O)[C@@H]1O)C(=O)N[C@H](C(=O)N[C@@H](C)C(N)=O)[C@@H](C)O)C(C)C)[C@@H](C)O</t>
  </si>
  <si>
    <t>CHEMBL4286333</t>
  </si>
  <si>
    <t>CHEMBL4286333</t>
    <phoneticPr fontId="1" type="noConversion"/>
  </si>
  <si>
    <t>CC(C)[C@H](NC(=O)[C@@H](N)CS)C(=O)N[C@H](C(=O)N1CCC[C@H]1C(=O)N[C@H](C(=O)N[C@@H](CCCCNC(=O)c1ccc(CNC(=O)c2cc(=O)[nH]c3ccccc23)cc1)C(=O)N[C@H](C(=O)N[C@@H](C)C(N)=O)[C@@H](C)O)C(C)C)[C@@H](C)O</t>
  </si>
  <si>
    <t>CHEMBL4291217</t>
  </si>
  <si>
    <t>CHEMBL4291217</t>
    <phoneticPr fontId="1" type="noConversion"/>
  </si>
  <si>
    <t>CC(=O)Nc1ccc(-n2cc(-c3ccc(-c4ccccc4)cc3)nn2)cc1</t>
  </si>
  <si>
    <t>CC(=O)Nc1ccc(N=[N+]=[N-])cc1</t>
  </si>
  <si>
    <t>CHEMBL3892504</t>
  </si>
  <si>
    <t>CHEMBL3892504</t>
    <phoneticPr fontId="1" type="noConversion"/>
  </si>
  <si>
    <t>C#Cc1ccc(-c2ccccc2)cc1</t>
  </si>
  <si>
    <t>CHEMBL374163</t>
    <phoneticPr fontId="1" type="noConversion"/>
  </si>
  <si>
    <t>Itkonen HM, Gorad SS, Duveau DY, Martin SE, Barkovskaya A, Bathen TF, Moestue SA, Mills IG. Inhibition of O-GlcNAc transferase activity reprograms prostate cancer cell metabolism. Oncotarget. 2016 Mar 15;7(11):12464-76. doi: 10.18632/oncotarget.7039. PMID: 26824323; PMCID: PMC4914298.</t>
  </si>
  <si>
    <t>Thiogohlin1</t>
    <phoneticPr fontId="1" type="noConversion"/>
  </si>
  <si>
    <t>O[C@@H]1[C@@H](N2C(N([H])C(C=C2)=O)=O)O[C@@H](COP(O)(OP(OCCCCOCC(NC(C(NC(C(NC(N)=O)C)=O)C(C)C)=O)C(NC(C(N3C(CCC3)C(NC(C(NC(C(NC(C)=O)=O)C(C)C)=O)[C@H](O)C)=O)=O)C(C)C)=O)(O)=O)=O)[C@@H]1O</t>
  </si>
  <si>
    <t>Cheng SS, Mody AC, Woo CM. Opportunities for Therapeutic Modulation of O-GlcNAc. Chem Rev. 2024 Nov 27;124(22):12918-13019. doi: 10.1021/acs.chemrev.4c00417. Epub 2024 Nov 7. PMID: 39509558.</t>
  </si>
  <si>
    <t>O=C1NC2=C(C=CC=C2)C(C(N[C@@H](C(C)C)C(N[C@H](C(N3CCC[C@H]3C(N[C@@H](C(C)C)C(N[C@H](C(N[C@@H]([C@H](O)C)C(N[C@@H](C)C(N)=O)=O)=O)C)=O)=O)=O)[C@@H](C)O)=O)=O)=C1</t>
  </si>
  <si>
    <t>Q4C-VTPVATA</t>
    <phoneticPr fontId="1" type="noConversion"/>
  </si>
  <si>
    <t>O=C(C1=CC(CC(N2)=O)=C2C=C1)CSC(N3CC4=CC=CC=C4)=NN=C3C5=CC=CO5</t>
  </si>
  <si>
    <t>Vs-51</t>
    <phoneticPr fontId="1" type="noConversion"/>
  </si>
  <si>
    <t>DELopen Compound 10207</t>
    <phoneticPr fontId="1" type="noConversion"/>
  </si>
  <si>
    <t>DELopen Compound 10115</t>
    <phoneticPr fontId="1" type="noConversion"/>
  </si>
  <si>
    <t>BrC1=CC=C(C2=NC(/C=C/C(N[C@@H](CC3=CNC4=C3C=CC=C4)C(N[C@H](C5CCCCC5)C(OCC)=O)=O)=O)=CS2)C=C1</t>
  </si>
  <si>
    <t>DELopen Compound 1020710</t>
    <phoneticPr fontId="1" type="noConversion"/>
  </si>
  <si>
    <t>BrC1=CC=C(C2=NC(/C=C/C(N[C@@H](CC3=CNC4=C3C=CC=C4)C(N[C@H](C5=CC=CC=C5)C(OCC)=O)=O)=O)=CS2)C=C1</t>
  </si>
  <si>
    <t>DELopen Compound 1020712</t>
    <phoneticPr fontId="1" type="noConversion"/>
  </si>
  <si>
    <t>DELopen Compound 102078A</t>
    <phoneticPr fontId="1" type="noConversion"/>
  </si>
  <si>
    <t>N[C@@H](CC1=CNC2=C1C=CC=C2)C(N[C@H](C3=CC=CC=C3)C(OCC)=O)=O</t>
  </si>
  <si>
    <t>BrC1=CC=C(C=C1)C2=NC(/C=C/C(N[C@H](C(N[C@@H](C(O)=O)C3CCCCC3)=O)CC4=CNC5=C4C=CC=C5)=O)=CS2</t>
  </si>
  <si>
    <t>O=C(NC(C1=CC=C(C2=CC=CC=C2)C=C1)CC(NC)=O)C3=CC(C(C=C4)=CC=C4C5=CC=CO5)=CN=C3</t>
  </si>
  <si>
    <t>DELopen Compound 1011521</t>
    <phoneticPr fontId="1" type="noConversion"/>
  </si>
  <si>
    <t>O=C(NC(C1=CC=C(C2=CC=CC=C2)C=C1)CC(OCC)=O)C3=CC(C(C=C4)=CC=C4C5=CC=CO5)=CN=C3</t>
  </si>
  <si>
    <t>O=C(N[C@@H](C1=CC=C(Br)C=C1)CC(OCC)=O)C2=CC(C(C=C3)=CC=C3C4=CC=CO4)=CN=C2</t>
  </si>
  <si>
    <t>DELopen Compound 1011524</t>
    <phoneticPr fontId="1" type="noConversion"/>
  </si>
  <si>
    <t>DELopen Compound 1011525</t>
    <phoneticPr fontId="1" type="noConversion"/>
  </si>
  <si>
    <t>BrC1=CC=C(C2=CN=CC(C(N[C@H](C3=CC=C(Br)C=C3)CC(OCC)=O)=O)=C2)C=C1</t>
  </si>
  <si>
    <t>DELopen Compound 1011526</t>
    <phoneticPr fontId="1" type="noConversion"/>
  </si>
  <si>
    <t>BrC1=CC=C(C2=CN=CC(C(NC(C3=CC=C(C4=CC=CC=C4)C=C3)CC(OCC)=O)=O)=C2)C=C1</t>
  </si>
  <si>
    <t>DELopen Compound 1011527a</t>
    <phoneticPr fontId="1" type="noConversion"/>
  </si>
  <si>
    <t>O=C(N[C@@H](C1=CC=CC=C1)CC(OCC)=O)C2=CC(C(C=C3)=CC=C3C4=CC=CO4)=CN=C2</t>
  </si>
  <si>
    <t>DELopen Compound 1011527b</t>
    <phoneticPr fontId="1" type="noConversion"/>
  </si>
  <si>
    <t>O=C(N[C@H](C1=CC=CC=C1)CC(OCC)=O)C2=CC(C(C=C3)=CC=C3C4=CC=CO4)=CN=C2</t>
  </si>
  <si>
    <t>DOI: 10.1016/j.bioorg.2024.107321</t>
  </si>
  <si>
    <t>O=C(CSC1=NN=C(C)N1CC2=CC=CC=C2)C3=CC(C4)=C(C=C3)NC4=O</t>
  </si>
  <si>
    <t>Vs-51(3)</t>
    <phoneticPr fontId="1" type="noConversion"/>
  </si>
  <si>
    <t>O=C(CSC1=NN=C(C2=CC=CO2)N1CC3=CC=C(OC)C=C3)C4=CC(C5)=C(C=C4Cl)NC5=O</t>
  </si>
  <si>
    <t>Vs-51(4)</t>
    <phoneticPr fontId="1" type="noConversion"/>
  </si>
  <si>
    <t>Vs-51(5)</t>
    <phoneticPr fontId="1" type="noConversion"/>
  </si>
  <si>
    <t>O=C(CSC1=NN=C(C2=CC=CO2)N1CC3=CC=C(OC)C=C3)C4=CC(C5)=C(C=C4)NC5=O</t>
    <phoneticPr fontId="1" type="noConversion"/>
  </si>
  <si>
    <t>Vs-51(6)</t>
    <phoneticPr fontId="1" type="noConversion"/>
  </si>
  <si>
    <t>O=C(CSC1=NN=C(C2=CC=CO2)N1CC3=CC=C(O)C=C3)C4=CC(C5)=C(C=C4)NC5=O</t>
  </si>
  <si>
    <t>Vs-51(7)</t>
    <phoneticPr fontId="1" type="noConversion"/>
  </si>
  <si>
    <t>O=C(CSC1=NN=C(C2=CC=CO2)N1CC3=CC=C(C)C=C3)C4=CC(C5)=C(C=C4)NC5=O</t>
  </si>
  <si>
    <t>O=C(CSC1=NN=C(C2=CC=CO2)N1CC3=CC=C(C)C=C3)C4=CC(C5)=C(C=C4Cl)NC5=O</t>
  </si>
  <si>
    <t>Vs-51(8)</t>
    <phoneticPr fontId="1" type="noConversion"/>
  </si>
  <si>
    <t>Vs-51(9)</t>
    <phoneticPr fontId="1" type="noConversion"/>
  </si>
  <si>
    <t>Vs-51(10)</t>
  </si>
  <si>
    <t>Vs-51(11)</t>
  </si>
  <si>
    <t>O=C(C1=CC(CC2=O)=C(N2)C=C1)CSC3=NN=C(N3C4=CC=CC=C4)C5=CC=CO5</t>
    <phoneticPr fontId="1" type="noConversion"/>
  </si>
  <si>
    <t>O=C(C1=CC(CC2=O)=C(N2)C=C1)CSC3=NN=C(N3C4=CC=C(C)C=C4)C5=CC=CO5</t>
  </si>
  <si>
    <t>O=C(C1=CC(CC2=O)=C(N2)C=C1)CSC3=NN=C(N3C4=CC=C(C)C=C4)C</t>
  </si>
  <si>
    <t>Vs-83</t>
    <phoneticPr fontId="1" type="noConversion"/>
  </si>
  <si>
    <t>C1(CC2=NNC(C3=C(C4=CC=CS4)NN=C3)=N2)=CC=CC=C1</t>
  </si>
  <si>
    <t>Loi, Elena M et al. “Discovery of a New Drug-like Series of OGT Inhibitors by Virtual Screening.” Molecules (Basel, Switzerland) vol. 27,6 1996. 19 Mar. 2022, doi:10.3390/molecules27061996</t>
  </si>
  <si>
    <t>Makwana, V.; Sood, R.; Malde, A. K.; Anoopkumar-Dukie, S.; Rudrawar, S. Bisubstrate Uridine-Mimetic-Peptide Conjugates as O-GlcNAc Transferase (OGT) Inhibitors. ChemistrySelect 2024, 9, e202400010  DOI: 10.1002/slct.202400010</t>
    <phoneticPr fontId="1" type="noConversion"/>
  </si>
  <si>
    <t>COCCCOP(OP(OC[C@H]1O[C@@H](N(C=C2)C(NC2=O)=O)[C@H](O)[C@@H]1O)(O)=O)(O)=O</t>
    <phoneticPr fontId="1" type="noConversion"/>
  </si>
  <si>
    <t>O=S(C1=CC2=C(C=C1)NC(C=C2)=O)(NCCCCCC(NC(C(C)C)C(NC([C@@H](C)O)C(N3C(C(NC(C(C)C)C(NC(CO)C(NC([C@@H](C)O)C(NC(C)C(N)=O)=O)=O)=O)=O)CCC3)=O)=O)=O)=O</t>
  </si>
  <si>
    <t>Q4C-VTPVSTA</t>
    <phoneticPr fontId="1" type="noConversion"/>
  </si>
  <si>
    <t>Q4S-VTPVSTA</t>
    <phoneticPr fontId="1" type="noConversion"/>
  </si>
  <si>
    <t>CC(C(NC(C(CC)C)C(N1C(C(NC(C(C)C)C(NC(CO)C(NC(CCCNC(N)=N)C(NC(C)C(NC(CCC(O)=O)C(NC(CCCCN)C(N)=O)=O)=O)=O)=O)=O)=O)CCC1)=O)=O)NC(CCCCCNS(C2=CC3=C(C=C2)NC(C=C3)=O)(=O)=O)=O</t>
  </si>
  <si>
    <t>Q4S-AIPVSRAEK</t>
    <phoneticPr fontId="1" type="noConversion"/>
  </si>
  <si>
    <t>Q4S-STPVSSANM</t>
    <phoneticPr fontId="1" type="noConversion"/>
  </si>
  <si>
    <t>O=S(C1=CC2=C(C=C1)NC(C=C2)=O)(NCCCCCC(NC(CO)C(NC([C@@H](C)O)C(N3C(C(NC(C(C)C)C(NC(CO)C(NC(CO)C(NC(CO)C(NC(CC(N)=O)C(NC(CCSC)C(N)=O)=O)=O)=O)=O)=O)=O)CCC3)=O)=O)=O)=O</t>
  </si>
  <si>
    <t>O=C1C=C(C(NCCCCCC(NC(C(C)C)C(NC([C@@H](C)O)C(N2C(C(NC(C(C)C)C(NC(CO)C(NC([C@@H](C)O)C(NC(C)C(N)=O)=O)=O)=O)=O)CCC2)=O)=O)=O)=O)C3=C(C=CC=C3)N1</t>
  </si>
  <si>
    <t>O=C(NC([C@@H](C)O)C(N1C(C(NC(C(C)C)C(NC(CO)C(NC(CO)C(NC(CO)C(NC(CC(N)=O)C(NC(CCSC)C(N)=O)=O)=O)=O)=O)=O)=O)CCC1)=O)C(CO)NC(CCCCCNC(C2=CC(NC3=C2C=CC=C3)=O)=O)=O</t>
  </si>
  <si>
    <t>O=C(NC(C(CC)C)C(N1C(C(NC(C(C)C)C(NC(C)C(NC(CCCNC(N)=N)C(NC(CO)C(NC(CC(N)=O)C(NC(CCSC)C=O)=O)=O)=O)=O)=O)=O)CCC1)=O)C(CO)NC(CCCCCNC(C2=CC(NC3=C2C=CC=C3)=O)=O)=O</t>
  </si>
  <si>
    <t>Q4C-STPVSSANM</t>
    <phoneticPr fontId="1" type="noConversion"/>
  </si>
  <si>
    <t>Q4C-AIPVARAEK</t>
    <phoneticPr fontId="1" type="noConversion"/>
  </si>
  <si>
    <t>COC1=C2C(CC(C(O)=C(C)C=C3O)=C3C(O2)=O)=CC(O)=C1</t>
  </si>
  <si>
    <t>CONC</t>
    <phoneticPr fontId="1" type="noConversion"/>
  </si>
  <si>
    <t>Bisubstrate Uridine-Mimetic-Peptide Conjugates as O-GlcNAc Transferase (OGT) Inhibitors</t>
  </si>
  <si>
    <t>An Economical High-Throughput “FP-Tag” Assay for Screening Glycosyltransferase Inhibitors**</t>
  </si>
  <si>
    <t>O=S(C1=CC2=C(C=C1)NC(C=C2)=O)(N(C)C3=C(OCC)C=CC=C3)=O</t>
  </si>
  <si>
    <t>initial_hits4</t>
    <phoneticPr fontId="1" type="noConversion"/>
  </si>
  <si>
    <t>O=S(C1=CC2=C(C=C1)NC(C=C2)=O)(NC(C(NC3=CC=CC=C3)=O)C4=CC=CC=C4)=O</t>
  </si>
  <si>
    <t>initial_hits5</t>
    <phoneticPr fontId="1" type="noConversion"/>
  </si>
  <si>
    <t>O=S(C1=CC2=C(C=C1)NC(C=C2)=O)(N(C)CC(NC3=NC(C=CC(Cl)=C4)=C4S3)=O)=O</t>
  </si>
  <si>
    <t>initial_hits7</t>
    <phoneticPr fontId="1" type="noConversion"/>
  </si>
  <si>
    <t>Martin, S. E. S.; Tan, Z. W.; Itkonen, H. M.; Duveau, D. Y.; Paulo, J. A.; Janetzko, J.; Boutz, P. L.; Tork, L.; Moss, F. A.; Thomas, C. J.Structure-Based Evolution of Low Nanomolar O-GlcNAc Transferase Inhibitors. J. Am. Chem. Soc. 2018, 140, 13542– 13545,  DOI: 10.1021/jacs.8b07328</t>
  </si>
  <si>
    <t>O=C(N[C@@H](CC1=CC=CC=C1)C(N[C@@H](C)C(NC(C(N[C@H](C(N)=O)CSCC(N[C@H](CC2=CC=C(O)C=C2)C(NC(C(N[C@@H](CC3=CC=CC=C3)C(CC([C@H](O)C)C(N[C@@H](CC4=CC=C(O)C=C4)C(N[C@H](C(NCC(N[C@@H](CC(C)C)C(N5[C@H]6CCC5)=O)=O)=O)CCC(N)=O)=O)=O)=O)=O)[C@@H](C)CC)=O)=O)=O)[C@@H](C)CC)=O)=O)[C@H](CCCCN)NC6=O</t>
  </si>
  <si>
    <t>D3</t>
    <phoneticPr fontId="1" type="noConversion"/>
  </si>
  <si>
    <t>D3-9</t>
    <phoneticPr fontId="1" type="noConversion"/>
  </si>
  <si>
    <t>O=C(N[C@@H](CC1=CC=CC=C1)C(N[C@@H](C)C(NC(C(N[C@H](C(N)=O)CSCC(N[C@H](CC2=CC=C(O)C=C2)C(NC(C(N[C@@H](CC3=CC=CC=C3)C(CC([C@H](O)C)C(N[C@@H](CC4=CC=C(O)C=C4)C(N[C@H](C(NCC(N[C@@H](CC(C)C)C(N(CCCC)C5)=O)=O)=O)CCC(N)=O)=O)=O)=O)=O)[C@@H](C)CC)=O)=O)=O)[C@@H](C)CC)=O)=O)[C@H](CCCCN)NC5=O</t>
  </si>
  <si>
    <t>D3-10</t>
    <phoneticPr fontId="1" type="noConversion"/>
  </si>
  <si>
    <t>O=C(N[C@@H](CC1=CC=CC=C1)C(N[C@@H](C)C(NC(C(N[C@H](C(N)=O)CSCC(N[C@H](CC2=CC=C(O)C=C2)C(NC(C(N[C@@H](CC3=CC=CC=C3)C(CC([C@H](O)C)C(N[C@@H](CC4=CC=C(O)C=C4)C(N[C@H](C(NCC(N[C@@H](CC(C)C)C(N(CCC(C)C)C5)=O)=O)=O)CCC(N)=O)=O)=O)=O)=O)[C@@H](C)CC)=O)=O)=O)[C@@H](C)CC)=O)=O)[C@H](CCCCN)NC5=O</t>
  </si>
  <si>
    <t>O=C(N[C@@H](CC1=CC=CC=C1)C(N[C@@H](C)C(NC(C(N[C@H](C)CSCC(N[C@H](CC2=CC=C(O)C=C2)C(NC(C(N[C@@H](CC3=CC=CC=C3)C(CC([C@H](O)C)C(N[C@@H](CC4=CC=C(O)C=C4)C(N[C@H](C(NCC(N[C@@H](CC(C)C)C(N(CCCCCC)C5)=O)=O)=O)CCC(N)=O)=O)=O)=O)=O)[C@@H](C)CC)=O)=O)=O)[C@@H](C)CC)=O)=O)[C@H](CCCCN)NC5=O</t>
  </si>
  <si>
    <t>D3-13</t>
    <phoneticPr fontId="1" type="noConversion"/>
  </si>
  <si>
    <t>D3-14</t>
    <phoneticPr fontId="1" type="noConversion"/>
  </si>
  <si>
    <t>O=C(N[C@@H](CC1=CC=CC=C1)C(N[C@@H](C)C(NC(C(N[C@H](C)CSCC(N[C@H](CC2=CC=C(O)C=C2)C(NC(C(N[C@@H](CC3=CC=CC=C3)C(CC([C@H](O)C)C(N[C@@H](CC4=CC=C(O)C=C4)C(N[C@H](C(NCC(N[C@@H](CC(C)C)C(N(CCC5CCCCC5)C6)=O)=O)=O)CCC(N)=O)=O)=O)=O)=O)[C@@H](C)CC)=O)=O)=O)[C@@H](C)CC)=O)=O)[C@H](CCCCN)NC6=O</t>
  </si>
  <si>
    <t>D3-15</t>
    <phoneticPr fontId="1" type="noConversion"/>
  </si>
  <si>
    <t>O=C(N[C@@H](CC1=CC=CC=C1)C(N[C@@H](C)C(NC(C(N[C@H](C)CSCC(N[C@H](CC2=CC=C(O)C=C2)C(NC(C(N[C@@H](CC3=CC=CC=C3)C(CC([C@H](O)C)C(N[C@@H](CC4=CC=C(O)C=C4)C(N[C@H](C(NCC(N[C@@H](CC(C)C)C(N(CCC5CCCC5)C6)=O)=O)=O)CCC(N)=O)=O)=O)=O)=O)[C@@H](C)CC)=O)=O)=O)[C@@H](C)CC)=O)=O)[C@H](CCCCN)NC6=O</t>
  </si>
  <si>
    <t>Alteen, Matthew G et al. “Potent De Novo Macrocyclic Peptides That Inhibit O-GlcNAc Transferase through an Allosteric Mechanism.” Angewandte Chemie (International ed. in English) vol. 62,5 (2023): e202215671. doi:10.1002/anie.202215671IF: 16.9 Q1</t>
  </si>
  <si>
    <t>Omaveloxolone</t>
    <phoneticPr fontId="1" type="noConversion"/>
  </si>
  <si>
    <t>DOI: 10.1016/j.bioorg.2023.106726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</si>
</sst>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212121"/>
      <name val="Segoe UI"/>
      <family val="2"/>
    </font>
    <font>
      <i/>
      <sz val="12"/>
      <color rgb="FF212121"/>
      <name val="Segoe UI"/>
      <family val="2"/>
    </font>
    <font>
      <sz val="11"/>
      <color rgb="FFFFFFFF"/>
      <name val="Segoe UI"/>
      <family val="2"/>
    </font>
    <font>
      <sz val="11"/>
      <color rgb="FF000000"/>
      <name val="Segoe UI"/>
      <family val="2"/>
    </font>
    <font>
      <sz val="9"/>
      <color rgb="FF000000"/>
      <name val="Verdana sans-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selection activeCell="F15" sqref="F15"/>
    </sheetView>
  </sheetViews>
  <sheetFormatPr defaultRowHeight="14.25"/>
  <cols>
    <col min="1" max="1" width="32.25" customWidth="1"/>
    <col min="2" max="2" width="56.125" customWidth="1"/>
    <col min="3" max="4" width="17.125" customWidth="1"/>
    <col min="5" max="5" width="14.5" customWidth="1"/>
  </cols>
  <sheetData>
    <row r="1" spans="1:5">
      <c r="A1" t="s">
        <v>17</v>
      </c>
      <c r="B1" t="s">
        <v>2</v>
      </c>
      <c r="C1" t="s">
        <v>4</v>
      </c>
      <c r="D1" t="s">
        <v>3</v>
      </c>
    </row>
    <row r="2" spans="1:5">
      <c r="A2" t="s">
        <v>82</v>
      </c>
      <c r="B2" t="s">
        <v>83</v>
      </c>
      <c r="C2">
        <v>0.06</v>
      </c>
      <c r="D2" s="1">
        <f t="shared" ref="D2:D33" si="0">-LOG10(C2*0.000001)</f>
        <v>7.2218487496163561</v>
      </c>
      <c r="E2" t="s">
        <v>81</v>
      </c>
    </row>
    <row r="3" spans="1:5">
      <c r="A3" t="s">
        <v>88</v>
      </c>
      <c r="B3" t="s">
        <v>89</v>
      </c>
      <c r="C3">
        <v>0.3</v>
      </c>
      <c r="D3" s="1">
        <f t="shared" si="0"/>
        <v>6.5228787452803374</v>
      </c>
      <c r="E3" t="s">
        <v>81</v>
      </c>
    </row>
    <row r="4" spans="1:5">
      <c r="B4" t="s">
        <v>10</v>
      </c>
      <c r="C4">
        <v>0.42</v>
      </c>
      <c r="D4" s="1">
        <f t="shared" si="0"/>
        <v>6.3767507096020992</v>
      </c>
      <c r="E4" t="s">
        <v>16</v>
      </c>
    </row>
    <row r="5" spans="1:5">
      <c r="A5" t="s">
        <v>149</v>
      </c>
      <c r="B5" t="s">
        <v>147</v>
      </c>
      <c r="C5">
        <v>0.48</v>
      </c>
      <c r="D5" s="1">
        <f t="shared" si="0"/>
        <v>6.3187587626244124</v>
      </c>
      <c r="E5" t="s">
        <v>148</v>
      </c>
    </row>
    <row r="6" spans="1:5">
      <c r="B6" t="s">
        <v>8</v>
      </c>
      <c r="C6">
        <v>0.56999999999999995</v>
      </c>
      <c r="D6" s="1">
        <f t="shared" si="0"/>
        <v>6.2441251443275085</v>
      </c>
      <c r="E6" t="s">
        <v>16</v>
      </c>
    </row>
    <row r="7" spans="1:5">
      <c r="B7" t="s">
        <v>15</v>
      </c>
      <c r="C7">
        <v>0.83</v>
      </c>
      <c r="D7" s="1">
        <f t="shared" si="0"/>
        <v>6.0809219076239263</v>
      </c>
      <c r="E7" t="s">
        <v>16</v>
      </c>
    </row>
    <row r="8" spans="1:5">
      <c r="A8" t="s">
        <v>87</v>
      </c>
      <c r="B8" t="s">
        <v>85</v>
      </c>
      <c r="C8">
        <v>0.9</v>
      </c>
      <c r="D8" s="1">
        <f t="shared" si="0"/>
        <v>6.0457574905606748</v>
      </c>
      <c r="E8" t="s">
        <v>81</v>
      </c>
    </row>
    <row r="9" spans="1:5">
      <c r="B9" t="s">
        <v>14</v>
      </c>
      <c r="C9">
        <v>0.92</v>
      </c>
      <c r="D9" s="1">
        <f t="shared" si="0"/>
        <v>6.0362121726544444</v>
      </c>
      <c r="E9" t="s">
        <v>16</v>
      </c>
    </row>
    <row r="10" spans="1:5">
      <c r="B10" t="s">
        <v>11</v>
      </c>
      <c r="C10">
        <v>1.43</v>
      </c>
      <c r="D10" s="1">
        <f t="shared" si="0"/>
        <v>5.8446639625349386</v>
      </c>
      <c r="E10" t="s">
        <v>16</v>
      </c>
    </row>
    <row r="11" spans="1:5" ht="17.25">
      <c r="A11" t="s">
        <v>253</v>
      </c>
      <c r="B11" t="s">
        <v>30</v>
      </c>
      <c r="C11">
        <v>1.65</v>
      </c>
      <c r="D11" s="1">
        <f t="shared" si="0"/>
        <v>5.7825160557860942</v>
      </c>
      <c r="E11" s="2" t="s">
        <v>254</v>
      </c>
    </row>
    <row r="12" spans="1:5">
      <c r="A12" t="s">
        <v>164</v>
      </c>
      <c r="B12" t="s">
        <v>48</v>
      </c>
      <c r="C12">
        <v>2</v>
      </c>
      <c r="D12" s="1">
        <f t="shared" si="0"/>
        <v>5.6989700043360187</v>
      </c>
      <c r="E12" t="s">
        <v>166</v>
      </c>
    </row>
    <row r="13" spans="1:5">
      <c r="B13" t="s">
        <v>13</v>
      </c>
      <c r="C13">
        <v>2.48</v>
      </c>
      <c r="D13" s="1">
        <f t="shared" si="0"/>
        <v>5.605548319173784</v>
      </c>
      <c r="E13" t="s">
        <v>16</v>
      </c>
    </row>
    <row r="14" spans="1:5">
      <c r="A14" t="s">
        <v>36</v>
      </c>
      <c r="B14" t="s">
        <v>35</v>
      </c>
      <c r="C14">
        <v>2.7</v>
      </c>
      <c r="D14" s="1">
        <f t="shared" si="0"/>
        <v>5.5686362358410131</v>
      </c>
      <c r="E14" t="s">
        <v>37</v>
      </c>
    </row>
    <row r="15" spans="1:5" ht="17.25">
      <c r="A15" t="s">
        <v>28</v>
      </c>
      <c r="B15" t="s">
        <v>29</v>
      </c>
      <c r="C15">
        <v>2.79</v>
      </c>
      <c r="D15" s="1">
        <f t="shared" si="0"/>
        <v>5.5543957967264026</v>
      </c>
      <c r="E15" s="2" t="s">
        <v>22</v>
      </c>
    </row>
    <row r="16" spans="1:5">
      <c r="A16" t="s">
        <v>250</v>
      </c>
      <c r="B16" t="s">
        <v>251</v>
      </c>
      <c r="C16">
        <v>3.3</v>
      </c>
      <c r="D16" s="1">
        <f t="shared" si="0"/>
        <v>5.4814860601221129</v>
      </c>
      <c r="E16" t="s">
        <v>252</v>
      </c>
    </row>
    <row r="17" spans="1:5">
      <c r="B17" t="s">
        <v>9</v>
      </c>
      <c r="C17">
        <v>4.24</v>
      </c>
      <c r="D17" s="1">
        <f t="shared" si="0"/>
        <v>5.3726341434072671</v>
      </c>
      <c r="E17" t="s">
        <v>16</v>
      </c>
    </row>
    <row r="18" spans="1:5">
      <c r="A18" t="s">
        <v>228</v>
      </c>
      <c r="B18" t="s">
        <v>226</v>
      </c>
      <c r="C18">
        <v>4.45</v>
      </c>
      <c r="D18" s="1">
        <f t="shared" si="0"/>
        <v>5.351639989019068</v>
      </c>
      <c r="E18" t="s">
        <v>231</v>
      </c>
    </row>
    <row r="19" spans="1:5" ht="17.25">
      <c r="A19" t="s">
        <v>27</v>
      </c>
      <c r="B19" t="s">
        <v>26</v>
      </c>
      <c r="C19">
        <v>5.93</v>
      </c>
      <c r="D19" s="1">
        <f t="shared" si="0"/>
        <v>5.2269453066357379</v>
      </c>
      <c r="E19" s="2" t="s">
        <v>254</v>
      </c>
    </row>
    <row r="20" spans="1:5">
      <c r="A20" t="s">
        <v>248</v>
      </c>
      <c r="B20" t="s">
        <v>249</v>
      </c>
      <c r="C20">
        <v>6.2</v>
      </c>
      <c r="D20" s="1">
        <f t="shared" si="0"/>
        <v>5.2076083105017466</v>
      </c>
      <c r="E20" t="s">
        <v>252</v>
      </c>
    </row>
    <row r="21" spans="1:5">
      <c r="A21" t="s">
        <v>72</v>
      </c>
      <c r="B21" t="s">
        <v>73</v>
      </c>
      <c r="C21">
        <v>6.3</v>
      </c>
      <c r="D21" s="1">
        <f t="shared" si="0"/>
        <v>5.2006594505464179</v>
      </c>
      <c r="E21" t="s">
        <v>80</v>
      </c>
    </row>
    <row r="22" spans="1:5" ht="17.25">
      <c r="A22" t="s">
        <v>18</v>
      </c>
      <c r="B22" t="s">
        <v>21</v>
      </c>
      <c r="C22">
        <v>6.56</v>
      </c>
      <c r="D22" s="1">
        <f t="shared" si="0"/>
        <v>5.1830961606243395</v>
      </c>
      <c r="E22" s="2" t="s">
        <v>254</v>
      </c>
    </row>
    <row r="23" spans="1:5">
      <c r="A23" t="s">
        <v>170</v>
      </c>
      <c r="B23" t="s">
        <v>169</v>
      </c>
      <c r="C23">
        <v>7</v>
      </c>
      <c r="D23" s="1">
        <f t="shared" si="0"/>
        <v>5.1549019599857431</v>
      </c>
      <c r="E23" t="s">
        <v>166</v>
      </c>
    </row>
    <row r="24" spans="1:5">
      <c r="A24" t="s">
        <v>71</v>
      </c>
      <c r="B24" t="s">
        <v>69</v>
      </c>
      <c r="C24">
        <v>8</v>
      </c>
      <c r="D24" s="1">
        <f t="shared" si="0"/>
        <v>5.0969100130080562</v>
      </c>
      <c r="E24" t="s">
        <v>80</v>
      </c>
    </row>
    <row r="25" spans="1:5">
      <c r="A25" t="s">
        <v>247</v>
      </c>
      <c r="B25" t="s">
        <v>246</v>
      </c>
      <c r="C25">
        <v>8.1</v>
      </c>
      <c r="D25" s="1">
        <f t="shared" si="0"/>
        <v>5.0915149811213505</v>
      </c>
      <c r="E25" t="s">
        <v>252</v>
      </c>
    </row>
    <row r="26" spans="1:5">
      <c r="A26" t="s">
        <v>53</v>
      </c>
      <c r="B26" t="s">
        <v>57</v>
      </c>
      <c r="C26">
        <v>9</v>
      </c>
      <c r="D26" s="1">
        <f t="shared" si="0"/>
        <v>5.0457574905606748</v>
      </c>
      <c r="E26" t="s">
        <v>54</v>
      </c>
    </row>
    <row r="27" spans="1:5">
      <c r="A27" t="s">
        <v>38</v>
      </c>
      <c r="B27" t="s">
        <v>39</v>
      </c>
      <c r="C27">
        <v>9.9</v>
      </c>
      <c r="D27" s="1">
        <f t="shared" si="0"/>
        <v>5.0043648054024503</v>
      </c>
      <c r="E27" t="s">
        <v>37</v>
      </c>
    </row>
    <row r="28" spans="1:5">
      <c r="A28" t="s">
        <v>115</v>
      </c>
      <c r="B28" t="s">
        <v>146</v>
      </c>
      <c r="C28">
        <v>10</v>
      </c>
      <c r="D28" s="1">
        <f t="shared" si="0"/>
        <v>5</v>
      </c>
      <c r="E28" t="s">
        <v>33</v>
      </c>
    </row>
    <row r="29" spans="1:5">
      <c r="B29" t="s">
        <v>12</v>
      </c>
      <c r="C29">
        <v>10.1</v>
      </c>
      <c r="D29" s="1">
        <f t="shared" si="0"/>
        <v>4.9956786262173578</v>
      </c>
      <c r="E29" t="s">
        <v>16</v>
      </c>
    </row>
    <row r="30" spans="1:5">
      <c r="A30" t="s">
        <v>24</v>
      </c>
      <c r="B30" t="s">
        <v>23</v>
      </c>
      <c r="C30">
        <v>11</v>
      </c>
      <c r="D30" s="1">
        <f t="shared" si="0"/>
        <v>4.9586073148417746</v>
      </c>
      <c r="E30" t="s">
        <v>25</v>
      </c>
    </row>
    <row r="31" spans="1:5">
      <c r="A31" t="s">
        <v>70</v>
      </c>
      <c r="B31" t="s">
        <v>31</v>
      </c>
      <c r="C31">
        <v>11</v>
      </c>
      <c r="D31" s="1">
        <f t="shared" si="0"/>
        <v>4.9586073148417746</v>
      </c>
      <c r="E31" t="s">
        <v>32</v>
      </c>
    </row>
    <row r="32" spans="1:5">
      <c r="A32" t="s">
        <v>20</v>
      </c>
      <c r="B32" s="1" t="s">
        <v>0</v>
      </c>
      <c r="C32" s="1">
        <v>11.7</v>
      </c>
      <c r="D32" s="1">
        <f t="shared" si="0"/>
        <v>4.9318141382538387</v>
      </c>
      <c r="E32" t="s">
        <v>7</v>
      </c>
    </row>
    <row r="33" spans="1:5">
      <c r="A33" t="s">
        <v>117</v>
      </c>
      <c r="B33" t="s">
        <v>116</v>
      </c>
      <c r="C33">
        <v>11.9</v>
      </c>
      <c r="D33" s="1">
        <f t="shared" si="0"/>
        <v>4.924453038607469</v>
      </c>
      <c r="E33" t="s">
        <v>117</v>
      </c>
    </row>
    <row r="34" spans="1:5">
      <c r="A34" t="s">
        <v>230</v>
      </c>
      <c r="B34" t="s">
        <v>229</v>
      </c>
      <c r="C34">
        <v>11.9</v>
      </c>
      <c r="D34" s="1">
        <f t="shared" ref="D34:D65" si="1">-LOG10(C34*0.000001)</f>
        <v>4.924453038607469</v>
      </c>
      <c r="E34" t="s">
        <v>232</v>
      </c>
    </row>
    <row r="35" spans="1:5">
      <c r="A35" t="s">
        <v>90</v>
      </c>
      <c r="B35" t="s">
        <v>5</v>
      </c>
      <c r="C35">
        <v>12.1</v>
      </c>
      <c r="D35" s="1">
        <f t="shared" si="1"/>
        <v>4.9172146296835502</v>
      </c>
      <c r="E35" t="s">
        <v>6</v>
      </c>
    </row>
    <row r="36" spans="1:5">
      <c r="A36" t="s">
        <v>206</v>
      </c>
      <c r="B36" t="s">
        <v>209</v>
      </c>
      <c r="C36">
        <v>16</v>
      </c>
      <c r="D36" s="1">
        <f t="shared" si="1"/>
        <v>4.795880017344075</v>
      </c>
      <c r="E36" t="s">
        <v>214</v>
      </c>
    </row>
    <row r="37" spans="1:5">
      <c r="A37" t="s">
        <v>218</v>
      </c>
      <c r="B37" t="s">
        <v>224</v>
      </c>
      <c r="C37">
        <v>16.5</v>
      </c>
      <c r="D37" s="1">
        <f t="shared" si="1"/>
        <v>4.7825160557860942</v>
      </c>
      <c r="E37" t="s">
        <v>231</v>
      </c>
    </row>
    <row r="38" spans="1:5">
      <c r="A38" t="s">
        <v>55</v>
      </c>
      <c r="B38" t="s">
        <v>56</v>
      </c>
      <c r="C38">
        <v>18</v>
      </c>
      <c r="D38" s="1">
        <f t="shared" si="1"/>
        <v>4.7447274948966935</v>
      </c>
      <c r="E38" t="s">
        <v>80</v>
      </c>
    </row>
    <row r="39" spans="1:5">
      <c r="A39" t="s">
        <v>45</v>
      </c>
      <c r="B39" t="s">
        <v>47</v>
      </c>
      <c r="C39">
        <v>18</v>
      </c>
      <c r="D39" s="1">
        <f t="shared" si="1"/>
        <v>4.7447274948966935</v>
      </c>
      <c r="E39" t="s">
        <v>81</v>
      </c>
    </row>
    <row r="40" spans="1:5">
      <c r="A40" t="s">
        <v>61</v>
      </c>
      <c r="B40" t="s">
        <v>63</v>
      </c>
      <c r="C40">
        <v>19</v>
      </c>
      <c r="D40" s="1">
        <f t="shared" si="1"/>
        <v>4.7212463990471711</v>
      </c>
      <c r="E40" t="s">
        <v>65</v>
      </c>
    </row>
    <row r="41" spans="1:5">
      <c r="A41" t="s">
        <v>219</v>
      </c>
      <c r="B41" t="s">
        <v>217</v>
      </c>
      <c r="C41">
        <v>20.27</v>
      </c>
      <c r="D41" s="1">
        <f t="shared" si="1"/>
        <v>4.6931462513069917</v>
      </c>
      <c r="E41" t="s">
        <v>231</v>
      </c>
    </row>
    <row r="42" spans="1:5">
      <c r="A42" t="s">
        <v>200</v>
      </c>
      <c r="B42" t="s">
        <v>201</v>
      </c>
      <c r="C42">
        <v>21</v>
      </c>
      <c r="D42" s="1">
        <f t="shared" si="1"/>
        <v>4.6777807052660805</v>
      </c>
      <c r="E42" t="s">
        <v>214</v>
      </c>
    </row>
    <row r="43" spans="1:5">
      <c r="A43" t="s">
        <v>43</v>
      </c>
      <c r="B43" t="s">
        <v>42</v>
      </c>
      <c r="C43">
        <v>21.8</v>
      </c>
      <c r="D43" s="1">
        <f t="shared" si="1"/>
        <v>4.6615435063953949</v>
      </c>
      <c r="E43" t="s">
        <v>44</v>
      </c>
    </row>
    <row r="44" spans="1:5">
      <c r="A44" t="s">
        <v>172</v>
      </c>
      <c r="B44" t="s">
        <v>180</v>
      </c>
      <c r="C44">
        <v>24</v>
      </c>
      <c r="D44" s="1">
        <f t="shared" si="1"/>
        <v>4.6197887582883936</v>
      </c>
      <c r="E44" s="3" t="s">
        <v>193</v>
      </c>
    </row>
    <row r="45" spans="1:5">
      <c r="A45" t="s">
        <v>208</v>
      </c>
      <c r="B45" t="s">
        <v>211</v>
      </c>
      <c r="C45">
        <v>27</v>
      </c>
      <c r="D45" s="1">
        <f t="shared" si="1"/>
        <v>4.5686362358410131</v>
      </c>
      <c r="E45" t="s">
        <v>214</v>
      </c>
    </row>
    <row r="46" spans="1:5">
      <c r="A46" t="s">
        <v>244</v>
      </c>
      <c r="B46" t="s">
        <v>245</v>
      </c>
      <c r="C46">
        <v>28</v>
      </c>
      <c r="D46" s="1">
        <f t="shared" si="1"/>
        <v>4.5528419686577806</v>
      </c>
      <c r="E46" t="s">
        <v>252</v>
      </c>
    </row>
    <row r="47" spans="1:5">
      <c r="A47" t="s">
        <v>184</v>
      </c>
      <c r="B47" t="s">
        <v>183</v>
      </c>
      <c r="C47">
        <v>29</v>
      </c>
      <c r="D47" s="1">
        <f t="shared" si="1"/>
        <v>4.5376020021010435</v>
      </c>
      <c r="E47" s="3" t="s">
        <v>193</v>
      </c>
    </row>
    <row r="48" spans="1:5">
      <c r="A48" t="s">
        <v>195</v>
      </c>
      <c r="B48" t="s">
        <v>194</v>
      </c>
      <c r="C48">
        <v>29</v>
      </c>
      <c r="D48" s="1">
        <f t="shared" si="1"/>
        <v>4.5376020021010435</v>
      </c>
      <c r="E48" t="s">
        <v>214</v>
      </c>
    </row>
    <row r="49" spans="1:5">
      <c r="A49" t="s">
        <v>86</v>
      </c>
      <c r="B49" t="s">
        <v>84</v>
      </c>
      <c r="C49">
        <v>30</v>
      </c>
      <c r="D49" s="1">
        <f t="shared" si="1"/>
        <v>4.5228787452803374</v>
      </c>
      <c r="E49" t="s">
        <v>81</v>
      </c>
    </row>
    <row r="50" spans="1:5">
      <c r="A50" t="s">
        <v>242</v>
      </c>
      <c r="B50" t="s">
        <v>243</v>
      </c>
      <c r="C50">
        <v>31</v>
      </c>
      <c r="D50" s="1">
        <f t="shared" si="1"/>
        <v>4.5086383061657269</v>
      </c>
      <c r="E50" t="s">
        <v>252</v>
      </c>
    </row>
    <row r="51" spans="1:5">
      <c r="A51" t="s">
        <v>197</v>
      </c>
      <c r="B51" t="s">
        <v>199</v>
      </c>
      <c r="C51">
        <v>33</v>
      </c>
      <c r="D51" s="1">
        <f t="shared" si="1"/>
        <v>4.4814860601221129</v>
      </c>
      <c r="E51" t="s">
        <v>214</v>
      </c>
    </row>
    <row r="52" spans="1:5">
      <c r="A52" t="s">
        <v>207</v>
      </c>
      <c r="B52" t="s">
        <v>210</v>
      </c>
      <c r="C52">
        <v>36</v>
      </c>
      <c r="D52" s="1">
        <f t="shared" si="1"/>
        <v>4.4436974992327123</v>
      </c>
      <c r="E52" t="s">
        <v>214</v>
      </c>
    </row>
    <row r="53" spans="1:5">
      <c r="A53" t="s">
        <v>198</v>
      </c>
      <c r="B53" t="s">
        <v>196</v>
      </c>
      <c r="C53">
        <v>39</v>
      </c>
      <c r="D53" s="1">
        <f t="shared" si="1"/>
        <v>4.4089353929735005</v>
      </c>
      <c r="E53" t="s">
        <v>214</v>
      </c>
    </row>
    <row r="54" spans="1:5">
      <c r="A54" t="s">
        <v>46</v>
      </c>
      <c r="B54" t="s">
        <v>165</v>
      </c>
      <c r="C54">
        <v>40</v>
      </c>
      <c r="D54" s="1">
        <f t="shared" si="1"/>
        <v>4.3979400086720375</v>
      </c>
      <c r="E54" t="s">
        <v>81</v>
      </c>
    </row>
    <row r="55" spans="1:5">
      <c r="A55" t="s">
        <v>50</v>
      </c>
      <c r="B55" t="s">
        <v>52</v>
      </c>
      <c r="C55">
        <v>41</v>
      </c>
      <c r="D55" s="1">
        <f t="shared" si="1"/>
        <v>4.3872161432802645</v>
      </c>
      <c r="E55" t="s">
        <v>54</v>
      </c>
    </row>
    <row r="56" spans="1:5">
      <c r="A56" t="s">
        <v>191</v>
      </c>
      <c r="B56" t="s">
        <v>192</v>
      </c>
      <c r="C56">
        <v>47</v>
      </c>
      <c r="D56" s="1">
        <f t="shared" si="1"/>
        <v>4.3279021420642829</v>
      </c>
      <c r="E56" s="3" t="s">
        <v>193</v>
      </c>
    </row>
    <row r="57" spans="1:5">
      <c r="A57" t="s">
        <v>66</v>
      </c>
      <c r="B57" t="s">
        <v>67</v>
      </c>
      <c r="C57">
        <v>48.1</v>
      </c>
      <c r="D57" s="1">
        <f t="shared" si="1"/>
        <v>4.3178549236261681</v>
      </c>
      <c r="E57" t="s">
        <v>68</v>
      </c>
    </row>
    <row r="58" spans="1:5">
      <c r="A58" t="s">
        <v>234</v>
      </c>
      <c r="B58" t="s">
        <v>233</v>
      </c>
      <c r="C58">
        <v>50</v>
      </c>
      <c r="D58" s="1">
        <f t="shared" si="1"/>
        <v>4.3010299956639813</v>
      </c>
      <c r="E58" t="s">
        <v>239</v>
      </c>
    </row>
    <row r="59" spans="1:5">
      <c r="A59" t="s">
        <v>174</v>
      </c>
      <c r="B59" t="s">
        <v>173</v>
      </c>
      <c r="C59">
        <v>51</v>
      </c>
      <c r="D59" s="1">
        <f t="shared" si="1"/>
        <v>4.2924298239020633</v>
      </c>
      <c r="E59" s="3" t="s">
        <v>193</v>
      </c>
    </row>
    <row r="60" spans="1:5">
      <c r="A60" t="s">
        <v>181</v>
      </c>
      <c r="B60" t="s">
        <v>182</v>
      </c>
      <c r="C60">
        <v>52</v>
      </c>
      <c r="D60" s="1">
        <f t="shared" si="1"/>
        <v>4.2839966563652006</v>
      </c>
      <c r="E60" s="3" t="s">
        <v>193</v>
      </c>
    </row>
    <row r="61" spans="1:5">
      <c r="A61" t="s">
        <v>74</v>
      </c>
      <c r="B61" t="s">
        <v>34</v>
      </c>
      <c r="C61">
        <v>53</v>
      </c>
      <c r="D61" s="1">
        <f t="shared" si="1"/>
        <v>4.2757241303992108</v>
      </c>
      <c r="E61" t="s">
        <v>163</v>
      </c>
    </row>
    <row r="62" spans="1:5">
      <c r="A62" t="s">
        <v>100</v>
      </c>
      <c r="B62" t="s">
        <v>101</v>
      </c>
      <c r="C62">
        <v>53</v>
      </c>
      <c r="D62" s="1">
        <f t="shared" si="1"/>
        <v>4.2757241303992108</v>
      </c>
      <c r="E62" t="s">
        <v>100</v>
      </c>
    </row>
    <row r="63" spans="1:5">
      <c r="A63" t="s">
        <v>75</v>
      </c>
      <c r="B63" t="s">
        <v>76</v>
      </c>
      <c r="C63">
        <v>55</v>
      </c>
      <c r="D63" s="1">
        <f t="shared" si="1"/>
        <v>4.2596373105057559</v>
      </c>
      <c r="E63" t="s">
        <v>77</v>
      </c>
    </row>
    <row r="64" spans="1:5">
      <c r="A64" t="s">
        <v>62</v>
      </c>
      <c r="B64" t="s">
        <v>64</v>
      </c>
      <c r="C64">
        <v>58</v>
      </c>
      <c r="D64" s="1">
        <f t="shared" si="1"/>
        <v>4.2365720064370631</v>
      </c>
      <c r="E64" t="s">
        <v>65</v>
      </c>
    </row>
    <row r="65" spans="1:5">
      <c r="A65" t="s">
        <v>238</v>
      </c>
      <c r="B65" t="s">
        <v>237</v>
      </c>
      <c r="C65">
        <v>60</v>
      </c>
      <c r="D65" s="1">
        <f t="shared" si="1"/>
        <v>4.2218487496163561</v>
      </c>
      <c r="E65" t="s">
        <v>239</v>
      </c>
    </row>
    <row r="66" spans="1:5">
      <c r="A66" t="s">
        <v>40</v>
      </c>
      <c r="B66" t="s">
        <v>134</v>
      </c>
      <c r="C66">
        <v>66.7</v>
      </c>
      <c r="D66" s="1">
        <f t="shared" ref="D66:D97" si="2">-LOG10(C66*0.000001)</f>
        <v>4.1758741660834513</v>
      </c>
      <c r="E66" t="s">
        <v>37</v>
      </c>
    </row>
    <row r="67" spans="1:5">
      <c r="A67" t="s">
        <v>171</v>
      </c>
      <c r="B67" t="s">
        <v>179</v>
      </c>
      <c r="C67">
        <v>67</v>
      </c>
      <c r="D67" s="1">
        <f t="shared" si="2"/>
        <v>4.173925197299174</v>
      </c>
      <c r="E67" s="3" t="s">
        <v>193</v>
      </c>
    </row>
    <row r="68" spans="1:5">
      <c r="A68" t="s">
        <v>94</v>
      </c>
      <c r="B68" t="s">
        <v>93</v>
      </c>
      <c r="C68">
        <v>71</v>
      </c>
      <c r="D68" s="1">
        <f t="shared" si="2"/>
        <v>4.1487416512809245</v>
      </c>
      <c r="E68" t="s">
        <v>94</v>
      </c>
    </row>
    <row r="69" spans="1:5">
      <c r="A69" t="s">
        <v>91</v>
      </c>
      <c r="B69" t="s">
        <v>92</v>
      </c>
      <c r="C69">
        <v>71.7</v>
      </c>
      <c r="D69" s="1">
        <f t="shared" si="2"/>
        <v>4.1444808443322003</v>
      </c>
      <c r="E69" t="s">
        <v>91</v>
      </c>
    </row>
    <row r="70" spans="1:5">
      <c r="A70" t="s">
        <v>222</v>
      </c>
      <c r="B70" t="s">
        <v>223</v>
      </c>
      <c r="C70">
        <v>76.650000000000006</v>
      </c>
      <c r="D70" s="1">
        <f t="shared" si="2"/>
        <v>4.1154878408096058</v>
      </c>
      <c r="E70" t="s">
        <v>231</v>
      </c>
    </row>
    <row r="71" spans="1:5">
      <c r="A71" t="s">
        <v>221</v>
      </c>
      <c r="B71" t="s">
        <v>220</v>
      </c>
      <c r="C71">
        <v>86.3</v>
      </c>
      <c r="D71" s="1">
        <f t="shared" si="2"/>
        <v>4.0639892042847903</v>
      </c>
      <c r="E71" t="s">
        <v>231</v>
      </c>
    </row>
    <row r="72" spans="1:5">
      <c r="A72" t="s">
        <v>212</v>
      </c>
      <c r="B72" t="s">
        <v>213</v>
      </c>
      <c r="C72">
        <v>88</v>
      </c>
      <c r="D72" s="1">
        <f t="shared" si="2"/>
        <v>4.0555173278498318</v>
      </c>
      <c r="E72" t="s">
        <v>214</v>
      </c>
    </row>
    <row r="73" spans="1:5">
      <c r="A73" t="s">
        <v>104</v>
      </c>
      <c r="B73" t="s">
        <v>102</v>
      </c>
      <c r="C73">
        <v>89.3</v>
      </c>
      <c r="D73" s="1">
        <f t="shared" si="2"/>
        <v>4.0491485411114541</v>
      </c>
      <c r="E73" t="s">
        <v>103</v>
      </c>
    </row>
    <row r="74" spans="1:5">
      <c r="A74" t="s">
        <v>96</v>
      </c>
      <c r="B74" t="s">
        <v>95</v>
      </c>
      <c r="C74">
        <v>91.2</v>
      </c>
      <c r="D74" s="1">
        <f t="shared" si="2"/>
        <v>4.0400051616715835</v>
      </c>
      <c r="E74" t="s">
        <v>96</v>
      </c>
    </row>
    <row r="75" spans="1:5">
      <c r="A75" t="s">
        <v>49</v>
      </c>
      <c r="B75" t="s">
        <v>51</v>
      </c>
      <c r="C75">
        <v>93</v>
      </c>
      <c r="D75" s="1">
        <f t="shared" si="2"/>
        <v>4.0315170514460652</v>
      </c>
      <c r="E75" t="s">
        <v>54</v>
      </c>
    </row>
    <row r="76" spans="1:5">
      <c r="A76" t="s">
        <v>120</v>
      </c>
      <c r="B76" t="s">
        <v>118</v>
      </c>
      <c r="C76">
        <v>100</v>
      </c>
      <c r="D76" s="1">
        <f t="shared" si="2"/>
        <v>4</v>
      </c>
      <c r="E76" t="s">
        <v>119</v>
      </c>
    </row>
    <row r="77" spans="1:5">
      <c r="A77" t="s">
        <v>137</v>
      </c>
      <c r="B77" t="s">
        <v>135</v>
      </c>
      <c r="C77">
        <v>100</v>
      </c>
      <c r="D77" s="1">
        <f t="shared" si="2"/>
        <v>4</v>
      </c>
      <c r="E77" t="s">
        <v>136</v>
      </c>
    </row>
    <row r="78" spans="1:5">
      <c r="A78" t="s">
        <v>202</v>
      </c>
      <c r="B78" t="s">
        <v>203</v>
      </c>
      <c r="C78">
        <v>103</v>
      </c>
      <c r="D78" s="1">
        <f t="shared" si="2"/>
        <v>3.987162775294828</v>
      </c>
      <c r="E78" t="s">
        <v>214</v>
      </c>
    </row>
    <row r="79" spans="1:5">
      <c r="A79" t="s">
        <v>205</v>
      </c>
      <c r="B79" t="s">
        <v>204</v>
      </c>
      <c r="C79">
        <v>103</v>
      </c>
      <c r="D79" s="1">
        <f t="shared" si="2"/>
        <v>3.987162775294828</v>
      </c>
      <c r="E79" t="s">
        <v>214</v>
      </c>
    </row>
    <row r="80" spans="1:5">
      <c r="A80" t="s">
        <v>156</v>
      </c>
      <c r="B80" t="s">
        <v>154</v>
      </c>
      <c r="C80">
        <v>117</v>
      </c>
      <c r="D80" s="1">
        <f t="shared" si="2"/>
        <v>3.9318141382538383</v>
      </c>
      <c r="E80" t="s">
        <v>155</v>
      </c>
    </row>
    <row r="81" spans="1:5">
      <c r="A81" t="s">
        <v>236</v>
      </c>
      <c r="B81" t="s">
        <v>235</v>
      </c>
      <c r="C81">
        <v>125</v>
      </c>
      <c r="D81" s="1">
        <f t="shared" si="2"/>
        <v>3.9030899869919438</v>
      </c>
      <c r="E81" t="s">
        <v>239</v>
      </c>
    </row>
    <row r="82" spans="1:5">
      <c r="A82" t="s">
        <v>58</v>
      </c>
      <c r="B82" t="s">
        <v>59</v>
      </c>
      <c r="C82">
        <v>132</v>
      </c>
      <c r="D82" s="1">
        <f t="shared" si="2"/>
        <v>3.87942606879415</v>
      </c>
      <c r="E82" t="s">
        <v>60</v>
      </c>
    </row>
    <row r="83" spans="1:5">
      <c r="A83" t="s">
        <v>168</v>
      </c>
      <c r="B83" t="s">
        <v>167</v>
      </c>
      <c r="C83">
        <v>134.4</v>
      </c>
      <c r="D83" s="1">
        <f t="shared" si="2"/>
        <v>3.8716007312821934</v>
      </c>
      <c r="E83" t="s">
        <v>231</v>
      </c>
    </row>
    <row r="84" spans="1:5">
      <c r="A84" t="s">
        <v>41</v>
      </c>
      <c r="B84" t="s">
        <v>157</v>
      </c>
      <c r="C84">
        <v>139</v>
      </c>
      <c r="D84" s="1">
        <f t="shared" si="2"/>
        <v>3.856985199745905</v>
      </c>
      <c r="E84" t="s">
        <v>37</v>
      </c>
    </row>
    <row r="85" spans="1:5">
      <c r="A85" t="s">
        <v>19</v>
      </c>
      <c r="B85" s="1" t="s">
        <v>1</v>
      </c>
      <c r="C85" s="1">
        <v>159</v>
      </c>
      <c r="D85" s="1">
        <f t="shared" si="2"/>
        <v>3.7986028756795487</v>
      </c>
      <c r="E85" t="s">
        <v>7</v>
      </c>
    </row>
    <row r="86" spans="1:5">
      <c r="A86" t="s">
        <v>241</v>
      </c>
      <c r="B86" t="s">
        <v>240</v>
      </c>
      <c r="C86">
        <v>190</v>
      </c>
      <c r="D86" s="1">
        <f t="shared" si="2"/>
        <v>3.7212463990471711</v>
      </c>
      <c r="E86" t="s">
        <v>252</v>
      </c>
    </row>
    <row r="87" spans="1:5">
      <c r="A87" t="s">
        <v>78</v>
      </c>
      <c r="B87" t="s">
        <v>124</v>
      </c>
      <c r="C87">
        <v>193</v>
      </c>
      <c r="D87" s="1">
        <f t="shared" si="2"/>
        <v>3.7144426909922261</v>
      </c>
      <c r="E87" t="s">
        <v>80</v>
      </c>
    </row>
    <row r="88" spans="1:5">
      <c r="A88" t="s">
        <v>187</v>
      </c>
      <c r="B88" t="s">
        <v>188</v>
      </c>
      <c r="C88">
        <v>197</v>
      </c>
      <c r="D88" s="1">
        <f t="shared" si="2"/>
        <v>3.7055337738384071</v>
      </c>
      <c r="E88" s="3" t="s">
        <v>193</v>
      </c>
    </row>
    <row r="89" spans="1:5">
      <c r="A89" t="s">
        <v>127</v>
      </c>
      <c r="B89" t="s">
        <v>125</v>
      </c>
      <c r="C89">
        <v>297</v>
      </c>
      <c r="D89" s="1">
        <f t="shared" si="2"/>
        <v>3.5272435506827877</v>
      </c>
      <c r="E89" t="s">
        <v>126</v>
      </c>
    </row>
    <row r="90" spans="1:5">
      <c r="A90" t="s">
        <v>177</v>
      </c>
      <c r="B90" t="s">
        <v>178</v>
      </c>
      <c r="C90">
        <v>299</v>
      </c>
      <c r="D90" s="1">
        <f t="shared" si="2"/>
        <v>3.5243288116755704</v>
      </c>
      <c r="E90" s="3" t="s">
        <v>193</v>
      </c>
    </row>
    <row r="91" spans="1:5">
      <c r="A91">
        <v>17</v>
      </c>
      <c r="B91" t="s">
        <v>216</v>
      </c>
      <c r="C91">
        <v>300</v>
      </c>
      <c r="D91" s="1">
        <f t="shared" si="2"/>
        <v>3.5228787452803374</v>
      </c>
      <c r="E91" t="s">
        <v>215</v>
      </c>
    </row>
    <row r="92" spans="1:5">
      <c r="A92" t="s">
        <v>189</v>
      </c>
      <c r="B92" t="s">
        <v>190</v>
      </c>
      <c r="C92">
        <v>327</v>
      </c>
      <c r="D92" s="1">
        <f t="shared" si="2"/>
        <v>3.485452247339714</v>
      </c>
      <c r="E92" s="3" t="s">
        <v>193</v>
      </c>
    </row>
    <row r="93" spans="1:5">
      <c r="A93" t="s">
        <v>185</v>
      </c>
      <c r="B93" t="s">
        <v>186</v>
      </c>
      <c r="C93">
        <v>337</v>
      </c>
      <c r="D93" s="1">
        <f t="shared" si="2"/>
        <v>3.4723700991286615</v>
      </c>
      <c r="E93" s="3" t="s">
        <v>193</v>
      </c>
    </row>
    <row r="94" spans="1:5">
      <c r="A94" t="s">
        <v>145</v>
      </c>
      <c r="B94" t="s">
        <v>144</v>
      </c>
      <c r="C94">
        <v>340</v>
      </c>
      <c r="D94" s="1">
        <f t="shared" si="2"/>
        <v>3.4685210829577451</v>
      </c>
      <c r="E94" t="s">
        <v>145</v>
      </c>
    </row>
    <row r="95" spans="1:5">
      <c r="A95" t="s">
        <v>176</v>
      </c>
      <c r="B95" t="s">
        <v>175</v>
      </c>
      <c r="C95">
        <v>344</v>
      </c>
      <c r="D95" s="1">
        <f t="shared" si="2"/>
        <v>3.46344155742847</v>
      </c>
      <c r="E95" s="3" t="s">
        <v>193</v>
      </c>
    </row>
    <row r="96" spans="1:5">
      <c r="A96" t="s">
        <v>79</v>
      </c>
      <c r="B96" t="s">
        <v>138</v>
      </c>
      <c r="C96">
        <v>385</v>
      </c>
      <c r="D96" s="1">
        <f t="shared" si="2"/>
        <v>3.4145392704914994</v>
      </c>
      <c r="E96" t="s">
        <v>80</v>
      </c>
    </row>
    <row r="97" spans="1:5">
      <c r="A97" t="s">
        <v>133</v>
      </c>
      <c r="B97" t="s">
        <v>131</v>
      </c>
      <c r="C97">
        <v>493</v>
      </c>
      <c r="D97" s="1">
        <f t="shared" si="2"/>
        <v>3.3071530807227698</v>
      </c>
      <c r="E97" t="s">
        <v>132</v>
      </c>
    </row>
    <row r="98" spans="1:5">
      <c r="A98" t="s">
        <v>114</v>
      </c>
      <c r="B98" t="s">
        <v>113</v>
      </c>
      <c r="C98">
        <v>865</v>
      </c>
      <c r="D98" s="1">
        <f t="shared" ref="D98:D110" si="3">-LOG10(C98*0.000001)</f>
        <v>3.0629838925351858</v>
      </c>
      <c r="E98" t="s">
        <v>114</v>
      </c>
    </row>
    <row r="99" spans="1:5">
      <c r="A99" t="s">
        <v>98</v>
      </c>
      <c r="B99" t="s">
        <v>99</v>
      </c>
      <c r="C99">
        <v>1000</v>
      </c>
      <c r="D99" s="1">
        <f t="shared" si="3"/>
        <v>3</v>
      </c>
      <c r="E99" t="s">
        <v>97</v>
      </c>
    </row>
    <row r="100" spans="1:5">
      <c r="A100" t="s">
        <v>130</v>
      </c>
      <c r="B100" t="s">
        <v>128</v>
      </c>
      <c r="C100">
        <v>1000</v>
      </c>
      <c r="D100" s="1">
        <f t="shared" si="3"/>
        <v>3</v>
      </c>
      <c r="E100" t="s">
        <v>129</v>
      </c>
    </row>
    <row r="101" spans="1:5">
      <c r="A101" t="s">
        <v>153</v>
      </c>
      <c r="B101" t="s">
        <v>151</v>
      </c>
      <c r="C101">
        <v>1000</v>
      </c>
      <c r="D101" s="1">
        <f t="shared" si="3"/>
        <v>3</v>
      </c>
      <c r="E101" t="s">
        <v>152</v>
      </c>
    </row>
    <row r="102" spans="1:5">
      <c r="A102" t="s">
        <v>162</v>
      </c>
      <c r="B102" t="s">
        <v>161</v>
      </c>
      <c r="C102">
        <v>1000</v>
      </c>
      <c r="D102" s="1">
        <f t="shared" si="3"/>
        <v>3</v>
      </c>
      <c r="E102" t="s">
        <v>162</v>
      </c>
    </row>
    <row r="103" spans="1:5">
      <c r="A103" t="s">
        <v>123</v>
      </c>
      <c r="B103" t="s">
        <v>121</v>
      </c>
      <c r="C103">
        <v>1001</v>
      </c>
      <c r="D103" s="1">
        <f t="shared" si="3"/>
        <v>2.9995659225206812</v>
      </c>
      <c r="E103" t="s">
        <v>122</v>
      </c>
    </row>
    <row r="104" spans="1:5">
      <c r="A104" t="s">
        <v>227</v>
      </c>
      <c r="B104" t="s">
        <v>225</v>
      </c>
      <c r="C104">
        <v>1338</v>
      </c>
      <c r="D104" s="1">
        <f t="shared" si="3"/>
        <v>2.8735438865681955</v>
      </c>
      <c r="E104" t="s">
        <v>231</v>
      </c>
    </row>
    <row r="105" spans="1:5">
      <c r="A105" t="s">
        <v>109</v>
      </c>
      <c r="B105" t="s">
        <v>150</v>
      </c>
      <c r="C105">
        <v>1600</v>
      </c>
      <c r="D105" s="1">
        <f t="shared" si="3"/>
        <v>2.7958800173440754</v>
      </c>
      <c r="E105" t="s">
        <v>108</v>
      </c>
    </row>
    <row r="106" spans="1:5">
      <c r="A106" t="s">
        <v>140</v>
      </c>
      <c r="B106" t="s">
        <v>139</v>
      </c>
      <c r="C106">
        <v>1964</v>
      </c>
      <c r="D106" s="1">
        <f t="shared" si="3"/>
        <v>2.7068585165490693</v>
      </c>
      <c r="E106" t="s">
        <v>140</v>
      </c>
    </row>
    <row r="107" spans="1:5">
      <c r="A107" t="s">
        <v>112</v>
      </c>
      <c r="B107" t="s">
        <v>110</v>
      </c>
      <c r="C107">
        <v>3967</v>
      </c>
      <c r="D107" s="1">
        <f t="shared" si="3"/>
        <v>2.4015377995258493</v>
      </c>
      <c r="E107" t="s">
        <v>111</v>
      </c>
    </row>
    <row r="108" spans="1:5">
      <c r="A108" t="s">
        <v>143</v>
      </c>
      <c r="B108" t="s">
        <v>141</v>
      </c>
      <c r="C108">
        <v>4000</v>
      </c>
      <c r="D108" s="1">
        <f t="shared" si="3"/>
        <v>2.3979400086720375</v>
      </c>
      <c r="E108" t="s">
        <v>142</v>
      </c>
    </row>
    <row r="109" spans="1:5">
      <c r="A109" t="s">
        <v>160</v>
      </c>
      <c r="B109" t="s">
        <v>158</v>
      </c>
      <c r="C109">
        <v>4000</v>
      </c>
      <c r="D109" s="1">
        <f t="shared" si="3"/>
        <v>2.3979400086720375</v>
      </c>
      <c r="E109" t="s">
        <v>159</v>
      </c>
    </row>
    <row r="110" spans="1:5">
      <c r="A110" t="s">
        <v>107</v>
      </c>
      <c r="B110" t="s">
        <v>105</v>
      </c>
      <c r="C110">
        <v>5000</v>
      </c>
      <c r="D110" s="1">
        <f t="shared" si="3"/>
        <v>2.3010299956639813</v>
      </c>
      <c r="E110" t="s">
        <v>106</v>
      </c>
    </row>
  </sheetData>
  <sortState xmlns:xlrd2="http://schemas.microsoft.com/office/spreadsheetml/2017/richdata2" ref="A2:E114">
    <sortCondition descending="1" ref="D1:D11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孟雨晴</dc:creator>
  <cp:lastModifiedBy>雨晴 孟</cp:lastModifiedBy>
  <dcterms:created xsi:type="dcterms:W3CDTF">2015-06-05T18:19:34Z</dcterms:created>
  <dcterms:modified xsi:type="dcterms:W3CDTF">2026-05-31T14:06:01Z</dcterms:modified>
</cp:coreProperties>
</file>